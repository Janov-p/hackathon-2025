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ujo\Desktop\AUDIENCES\1_infos CM\"/>
    </mc:Choice>
  </mc:AlternateContent>
  <xr:revisionPtr revIDLastSave="0" documentId="13_ncr:1_{736E77B0-C6AF-487E-9FDE-1AA7151CCF52}" xr6:coauthVersionLast="47" xr6:coauthVersionMax="47" xr10:uidLastSave="{00000000-0000-0000-0000-000000000000}"/>
  <bookViews>
    <workbookView xWindow="-120" yWindow="-120" windowWidth="29040" windowHeight="15720" xr2:uid="{E6BFC037-F608-47E6-8433-BD0D47A8D0C9}"/>
  </bookViews>
  <sheets>
    <sheet name="2 TABLEAU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2" l="1"/>
  <c r="G28" i="2"/>
  <c r="H26" i="2" s="1"/>
  <c r="F18" i="2"/>
  <c r="F17" i="2"/>
  <c r="H13" i="2"/>
  <c r="G17" i="2"/>
  <c r="H12" i="2" s="1"/>
  <c r="F10" i="2"/>
  <c r="F9" i="2"/>
  <c r="H15" i="2" l="1"/>
  <c r="H16" i="2"/>
  <c r="H14" i="2"/>
  <c r="H20" i="2"/>
  <c r="H23" i="2"/>
  <c r="H25" i="2"/>
  <c r="H27" i="2"/>
  <c r="H22" i="2"/>
  <c r="H21" i="2"/>
  <c r="H24" i="2"/>
</calcChain>
</file>

<file path=xl/sharedStrings.xml><?xml version="1.0" encoding="utf-8"?>
<sst xmlns="http://schemas.openxmlformats.org/spreadsheetml/2006/main" count="46" uniqueCount="43">
  <si>
    <t>Copyright ? Carthage 2003-2018</t>
  </si>
  <si>
    <t>Effectif pondéré</t>
  </si>
  <si>
    <t>% du total</t>
  </si>
  <si>
    <t>Effectif brut</t>
  </si>
  <si>
    <t>LNM</t>
  </si>
  <si>
    <t>Cible 1 : Ensemble</t>
  </si>
  <si>
    <t>Etude : OneNext cumul 2 ans 2023</t>
  </si>
  <si>
    <t>Document Tableau exporté de Medialand - TABLEAU 1</t>
  </si>
  <si>
    <t>Pondéré (000)</t>
  </si>
  <si>
    <t/>
  </si>
  <si>
    <t xml:space="preserve"> Cible Ensemble</t>
  </si>
  <si>
    <t>Sexe</t>
  </si>
  <si>
    <t xml:space="preserve">   Homme</t>
  </si>
  <si>
    <t xml:space="preserve">   Femme</t>
  </si>
  <si>
    <t>Age (5 classes)</t>
  </si>
  <si>
    <t xml:space="preserve">   15 à 24 ans</t>
  </si>
  <si>
    <t xml:space="preserve">   25 à 34 ans</t>
  </si>
  <si>
    <t xml:space="preserve">   35 à 49 ans</t>
  </si>
  <si>
    <t xml:space="preserve">   50 à 64 ans</t>
  </si>
  <si>
    <t xml:space="preserve">   65 ans ou +</t>
  </si>
  <si>
    <t xml:space="preserve"> Cible Actifs</t>
  </si>
  <si>
    <t xml:space="preserve"> Cible Inactifs</t>
  </si>
  <si>
    <t>PCS Individu (8 classes)</t>
  </si>
  <si>
    <t xml:space="preserve">   Agriculteurs exploitants</t>
  </si>
  <si>
    <t xml:space="preserve">   Artisans, commerçants</t>
  </si>
  <si>
    <t xml:space="preserve">   Chefs d'entreprises, cadres et professions intellectuelles supérieures</t>
  </si>
  <si>
    <t xml:space="preserve">   Professions intermédiaires</t>
  </si>
  <si>
    <t xml:space="preserve">   Employés</t>
  </si>
  <si>
    <t xml:space="preserve">   Ouvriers</t>
  </si>
  <si>
    <t xml:space="preserve">   Retraités</t>
  </si>
  <si>
    <t xml:space="preserve">   Inactifs</t>
  </si>
  <si>
    <t xml:space="preserve">   (G) CSP+</t>
  </si>
  <si>
    <t>REGIONS (13)</t>
  </si>
  <si>
    <t xml:space="preserve">   Corse</t>
  </si>
  <si>
    <t>Départements de résidence</t>
  </si>
  <si>
    <t xml:space="preserve">   20 Corse</t>
  </si>
  <si>
    <t>Département de lieux de vie</t>
  </si>
  <si>
    <t xml:space="preserve">   20 - CORSE</t>
  </si>
  <si>
    <t>Zones de diffusion</t>
  </si>
  <si>
    <t xml:space="preserve">   GROUPE PROVENCE</t>
  </si>
  <si>
    <t xml:space="preserve">   LA PROVENCE</t>
  </si>
  <si>
    <t>LNM - PQR</t>
  </si>
  <si>
    <t xml:space="preserve">   Corse Matin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</si>
</sst>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/>
    <xf numFmtId="49" fontId="0" fillId="2" borderId="1" xfId="0" applyNumberFormat="1" applyFill="1" applyBorder="1"/>
    <xf numFmtId="0" fontId="1" fillId="2" borderId="1" xfId="0" applyFont="1" applyFill="1" applyBorder="1"/>
    <xf numFmtId="0" fontId="0" fillId="2" borderId="1" xfId="0" applyFill="1" applyBorder="1"/>
    <xf numFmtId="49" fontId="1" fillId="0" borderId="1" xfId="0" applyNumberFormat="1" applyFont="1" applyBorder="1"/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08CEC-8154-4E18-A6DC-07B4FBAE5AC4}">
  <sheetPr>
    <pageSetUpPr fitToPage="1"/>
  </sheetPr>
  <dimension ref="A1:H37"/>
  <sheetViews>
    <sheetView tabSelected="1" zoomScale="95" zoomScaleNormal="95" workbookViewId="0">
      <selection activeCell="K5" sqref="K5"/>
    </sheetView>
  </sheetViews>
  <sheetFormatPr baseColWidth="10" defaultRowHeight="15" x14ac:dyDescent="0.25"/>
  <cols>
    <col min="1" max="1" width="2.5703125" customWidth="1"/>
    <col min="2" max="2" width="64.85546875" bestFit="1" customWidth="1"/>
    <col min="3" max="3" width="15.140625" bestFit="1" customWidth="1"/>
    <col min="4" max="4" width="28.85546875" bestFit="1" customWidth="1"/>
    <col min="5" max="5" width="12.85546875" bestFit="1" customWidth="1"/>
    <col min="6" max="6" width="15.42578125" bestFit="1" customWidth="1"/>
    <col min="7" max="7" width="9.85546875" bestFit="1" customWidth="1"/>
  </cols>
  <sheetData>
    <row r="1" spans="1:8" x14ac:dyDescent="0.25">
      <c r="A1" t="s">
        <v>7</v>
      </c>
      <c r="D1" t="s">
        <v>0</v>
      </c>
      <c r="F1" t="s">
        <v>1</v>
      </c>
      <c r="G1" t="s">
        <v>2</v>
      </c>
      <c r="H1" t="s">
        <v>3</v>
      </c>
    </row>
    <row r="2" spans="1:8" x14ac:dyDescent="0.25">
      <c r="A2" t="s">
        <v>6</v>
      </c>
      <c r="C2" t="s">
        <v>4</v>
      </c>
      <c r="D2" t="s">
        <v>5</v>
      </c>
      <c r="F2">
        <v>53665000</v>
      </c>
      <c r="G2">
        <v>100</v>
      </c>
      <c r="H2">
        <v>53104</v>
      </c>
    </row>
    <row r="3" spans="1:8" x14ac:dyDescent="0.25">
      <c r="C3" t="s">
        <v>8</v>
      </c>
    </row>
    <row r="4" spans="1:8" ht="22.5" customHeight="1" x14ac:dyDescent="0.25">
      <c r="B4" s="1" t="s">
        <v>9</v>
      </c>
      <c r="D4" s="1" t="s">
        <v>9</v>
      </c>
      <c r="E4" s="8" t="s">
        <v>41</v>
      </c>
    </row>
    <row r="5" spans="1:8" ht="22.5" customHeight="1" x14ac:dyDescent="0.25">
      <c r="B5" s="1"/>
      <c r="C5" s="2" t="s">
        <v>10</v>
      </c>
      <c r="D5" s="1"/>
      <c r="E5" s="2" t="s">
        <v>42</v>
      </c>
    </row>
    <row r="6" spans="1:8" ht="30" customHeight="1" x14ac:dyDescent="0.25">
      <c r="B6" s="4" t="s">
        <v>10</v>
      </c>
      <c r="C6" s="5">
        <v>53665</v>
      </c>
      <c r="D6" s="6"/>
      <c r="E6" s="5">
        <v>147</v>
      </c>
      <c r="F6" s="6"/>
      <c r="G6" s="6"/>
      <c r="H6" s="6"/>
    </row>
    <row r="7" spans="1:8" hidden="1" x14ac:dyDescent="0.25">
      <c r="B7" s="2" t="s">
        <v>9</v>
      </c>
      <c r="C7" s="3"/>
      <c r="D7" s="3"/>
      <c r="E7" s="3"/>
      <c r="F7" s="3"/>
      <c r="G7" s="3"/>
      <c r="H7" s="3"/>
    </row>
    <row r="8" spans="1:8" ht="15" customHeight="1" x14ac:dyDescent="0.25">
      <c r="B8" s="7" t="s">
        <v>11</v>
      </c>
      <c r="C8" s="3"/>
      <c r="D8" s="3"/>
      <c r="E8" s="3"/>
      <c r="F8" s="3"/>
      <c r="G8" s="3"/>
      <c r="H8" s="3"/>
    </row>
    <row r="9" spans="1:8" ht="15" customHeight="1" x14ac:dyDescent="0.25">
      <c r="B9" s="2" t="s">
        <v>12</v>
      </c>
      <c r="C9" s="3">
        <v>25693</v>
      </c>
      <c r="D9" s="3"/>
      <c r="E9" s="3">
        <v>66</v>
      </c>
      <c r="F9" s="3">
        <f>E9/E6*100</f>
        <v>44.897959183673471</v>
      </c>
      <c r="G9" s="3"/>
      <c r="H9" s="3"/>
    </row>
    <row r="10" spans="1:8" ht="15" customHeight="1" x14ac:dyDescent="0.25">
      <c r="B10" s="2" t="s">
        <v>13</v>
      </c>
      <c r="C10" s="3">
        <v>27972</v>
      </c>
      <c r="D10" s="3"/>
      <c r="E10" s="3">
        <v>81</v>
      </c>
      <c r="F10" s="3">
        <f>E10/E6*100</f>
        <v>55.102040816326522</v>
      </c>
      <c r="G10" s="3"/>
      <c r="H10" s="3"/>
    </row>
    <row r="11" spans="1:8" ht="15" customHeight="1" x14ac:dyDescent="0.25">
      <c r="B11" s="7" t="s">
        <v>14</v>
      </c>
      <c r="C11" s="3"/>
      <c r="D11" s="3"/>
      <c r="E11" s="3"/>
      <c r="F11" s="3"/>
      <c r="G11" s="3"/>
      <c r="H11" s="3"/>
    </row>
    <row r="12" spans="1:8" ht="15" customHeight="1" x14ac:dyDescent="0.25">
      <c r="B12" s="2" t="s">
        <v>15</v>
      </c>
      <c r="C12" s="3">
        <v>7673</v>
      </c>
      <c r="D12" s="3"/>
      <c r="E12" s="3">
        <v>5</v>
      </c>
      <c r="F12" s="3"/>
      <c r="G12" s="3">
        <v>5</v>
      </c>
      <c r="H12" s="3">
        <f>G12/G17*100</f>
        <v>3.3557046979865772</v>
      </c>
    </row>
    <row r="13" spans="1:8" ht="15" customHeight="1" x14ac:dyDescent="0.25">
      <c r="B13" s="2" t="s">
        <v>16</v>
      </c>
      <c r="C13" s="3">
        <v>7255</v>
      </c>
      <c r="D13" s="3"/>
      <c r="E13" s="3">
        <v>19</v>
      </c>
      <c r="F13" s="3"/>
      <c r="G13" s="3">
        <v>19</v>
      </c>
      <c r="H13" s="3">
        <f>G13/G17*100</f>
        <v>12.751677852348994</v>
      </c>
    </row>
    <row r="14" spans="1:8" ht="15" customHeight="1" x14ac:dyDescent="0.25">
      <c r="B14" s="2" t="s">
        <v>17</v>
      </c>
      <c r="C14" s="3">
        <v>12135</v>
      </c>
      <c r="D14" s="3"/>
      <c r="E14" s="3">
        <v>33</v>
      </c>
      <c r="F14" s="3"/>
      <c r="G14" s="3">
        <v>33</v>
      </c>
      <c r="H14" s="3">
        <f>G14/G17*100</f>
        <v>22.14765100671141</v>
      </c>
    </row>
    <row r="15" spans="1:8" ht="15" customHeight="1" x14ac:dyDescent="0.25">
      <c r="B15" s="2" t="s">
        <v>18</v>
      </c>
      <c r="C15" s="3">
        <v>12617</v>
      </c>
      <c r="D15" s="3"/>
      <c r="E15" s="3">
        <v>36</v>
      </c>
      <c r="F15" s="3"/>
      <c r="G15" s="3">
        <v>36</v>
      </c>
      <c r="H15" s="3">
        <f>G15/G17*100</f>
        <v>24.161073825503358</v>
      </c>
    </row>
    <row r="16" spans="1:8" ht="15" customHeight="1" x14ac:dyDescent="0.25">
      <c r="B16" s="2" t="s">
        <v>19</v>
      </c>
      <c r="C16" s="3">
        <v>13984</v>
      </c>
      <c r="D16" s="3"/>
      <c r="E16" s="3">
        <v>56</v>
      </c>
      <c r="F16" s="3"/>
      <c r="G16" s="3">
        <v>56</v>
      </c>
      <c r="H16" s="3">
        <f>G16/G17*100</f>
        <v>37.583892617449663</v>
      </c>
    </row>
    <row r="17" spans="2:8" ht="15" customHeight="1" x14ac:dyDescent="0.25">
      <c r="B17" s="7" t="s">
        <v>20</v>
      </c>
      <c r="C17" s="3">
        <v>29222</v>
      </c>
      <c r="D17" s="3"/>
      <c r="E17" s="3">
        <v>72</v>
      </c>
      <c r="F17" s="3">
        <f>E17/E6*100</f>
        <v>48.979591836734691</v>
      </c>
      <c r="G17" s="3">
        <f>SUM(G12:G16)</f>
        <v>149</v>
      </c>
      <c r="H17" s="3"/>
    </row>
    <row r="18" spans="2:8" ht="15" customHeight="1" x14ac:dyDescent="0.25">
      <c r="B18" s="7" t="s">
        <v>21</v>
      </c>
      <c r="C18" s="3">
        <v>24443</v>
      </c>
      <c r="D18" s="3"/>
      <c r="E18" s="3">
        <v>75</v>
      </c>
      <c r="F18" s="3">
        <f>E18/E6*100</f>
        <v>51.020408163265309</v>
      </c>
      <c r="G18" s="3"/>
      <c r="H18" s="3"/>
    </row>
    <row r="19" spans="2:8" ht="15" customHeight="1" x14ac:dyDescent="0.25">
      <c r="B19" s="7" t="s">
        <v>22</v>
      </c>
      <c r="C19" s="3"/>
      <c r="D19" s="3"/>
      <c r="E19" s="3"/>
      <c r="F19" s="3"/>
      <c r="G19" s="3"/>
      <c r="H19" s="3"/>
    </row>
    <row r="20" spans="2:8" ht="15" customHeight="1" x14ac:dyDescent="0.25">
      <c r="B20" s="2" t="s">
        <v>23</v>
      </c>
      <c r="C20" s="3">
        <v>366</v>
      </c>
      <c r="D20" s="3"/>
      <c r="E20" s="3">
        <v>1</v>
      </c>
      <c r="F20" s="3"/>
      <c r="G20" s="3">
        <v>1</v>
      </c>
      <c r="H20" s="3">
        <f>G20/G28*100</f>
        <v>0.67567567567567566</v>
      </c>
    </row>
    <row r="21" spans="2:8" ht="15" customHeight="1" x14ac:dyDescent="0.25">
      <c r="B21" s="2" t="s">
        <v>24</v>
      </c>
      <c r="C21" s="3">
        <v>1800</v>
      </c>
      <c r="D21" s="3"/>
      <c r="E21" s="3">
        <v>6</v>
      </c>
      <c r="F21" s="3"/>
      <c r="G21" s="3">
        <v>6</v>
      </c>
      <c r="H21" s="3">
        <f>G21/G28*100</f>
        <v>4.0540540540540544</v>
      </c>
    </row>
    <row r="22" spans="2:8" ht="15" customHeight="1" x14ac:dyDescent="0.25">
      <c r="B22" s="2" t="s">
        <v>25</v>
      </c>
      <c r="C22" s="3">
        <v>6034</v>
      </c>
      <c r="D22" s="3"/>
      <c r="E22" s="3">
        <v>15</v>
      </c>
      <c r="F22" s="3"/>
      <c r="G22" s="3">
        <v>15</v>
      </c>
      <c r="H22" s="3">
        <f>G22/G28*100</f>
        <v>10.135135135135135</v>
      </c>
    </row>
    <row r="23" spans="2:8" ht="15" customHeight="1" x14ac:dyDescent="0.25">
      <c r="B23" s="2" t="s">
        <v>26</v>
      </c>
      <c r="C23" s="3">
        <v>7534</v>
      </c>
      <c r="D23" s="3"/>
      <c r="E23" s="3">
        <v>11</v>
      </c>
      <c r="F23" s="3"/>
      <c r="G23" s="3">
        <v>11</v>
      </c>
      <c r="H23" s="3">
        <f>G23/G28*100</f>
        <v>7.4324324324324325</v>
      </c>
    </row>
    <row r="24" spans="2:8" ht="15" customHeight="1" x14ac:dyDescent="0.25">
      <c r="B24" s="2" t="s">
        <v>27</v>
      </c>
      <c r="C24" s="3">
        <v>7748</v>
      </c>
      <c r="D24" s="3"/>
      <c r="E24" s="3">
        <v>26</v>
      </c>
      <c r="F24" s="3"/>
      <c r="G24" s="3">
        <v>26</v>
      </c>
      <c r="H24" s="3">
        <f>G24/G28*100</f>
        <v>17.567567567567568</v>
      </c>
    </row>
    <row r="25" spans="2:8" ht="15" customHeight="1" x14ac:dyDescent="0.25">
      <c r="B25" s="2" t="s">
        <v>28</v>
      </c>
      <c r="C25" s="3">
        <v>5739</v>
      </c>
      <c r="D25" s="3"/>
      <c r="E25" s="3">
        <v>13</v>
      </c>
      <c r="F25" s="3"/>
      <c r="G25" s="3">
        <v>13</v>
      </c>
      <c r="H25" s="3">
        <f>G25/G28*100</f>
        <v>8.7837837837837842</v>
      </c>
    </row>
    <row r="26" spans="2:8" ht="15" customHeight="1" x14ac:dyDescent="0.25">
      <c r="B26" s="2" t="s">
        <v>29</v>
      </c>
      <c r="C26" s="3">
        <v>14371</v>
      </c>
      <c r="D26" s="3"/>
      <c r="E26" s="3">
        <v>50</v>
      </c>
      <c r="F26" s="3"/>
      <c r="G26" s="3">
        <v>50</v>
      </c>
      <c r="H26" s="3">
        <f>G26/G28*100</f>
        <v>33.783783783783782</v>
      </c>
    </row>
    <row r="27" spans="2:8" ht="15" customHeight="1" x14ac:dyDescent="0.25">
      <c r="B27" s="2" t="s">
        <v>30</v>
      </c>
      <c r="C27" s="3">
        <v>10073</v>
      </c>
      <c r="D27" s="3"/>
      <c r="E27" s="3">
        <v>26</v>
      </c>
      <c r="F27" s="3"/>
      <c r="G27" s="3">
        <v>26</v>
      </c>
      <c r="H27" s="3">
        <f>G27/G28*100</f>
        <v>17.567567567567568</v>
      </c>
    </row>
    <row r="28" spans="2:8" ht="15" customHeight="1" x14ac:dyDescent="0.25">
      <c r="B28" s="2" t="s">
        <v>31</v>
      </c>
      <c r="C28" s="3">
        <v>15369</v>
      </c>
      <c r="D28" s="3"/>
      <c r="E28" s="3">
        <v>32</v>
      </c>
      <c r="F28" s="3">
        <f>E28/E6*100</f>
        <v>21.768707482993197</v>
      </c>
      <c r="G28" s="3">
        <f>SUM(G20:G27)</f>
        <v>148</v>
      </c>
      <c r="H28" s="3"/>
    </row>
    <row r="29" spans="2:8" ht="15" customHeight="1" x14ac:dyDescent="0.25">
      <c r="B29" s="7" t="s">
        <v>32</v>
      </c>
      <c r="C29" s="3"/>
      <c r="D29" s="3"/>
      <c r="E29" s="3"/>
      <c r="F29" s="3"/>
      <c r="G29" s="3"/>
      <c r="H29" s="3"/>
    </row>
    <row r="30" spans="2:8" ht="15" customHeight="1" x14ac:dyDescent="0.25">
      <c r="B30" s="2" t="s">
        <v>33</v>
      </c>
      <c r="C30" s="3">
        <v>293</v>
      </c>
      <c r="D30" s="3"/>
      <c r="E30" s="3">
        <v>124</v>
      </c>
      <c r="F30" s="3"/>
      <c r="G30" s="3"/>
      <c r="H30" s="3"/>
    </row>
    <row r="31" spans="2:8" ht="15" customHeight="1" x14ac:dyDescent="0.25">
      <c r="B31" s="7" t="s">
        <v>34</v>
      </c>
      <c r="C31" s="3"/>
      <c r="D31" s="3"/>
      <c r="E31" s="3"/>
      <c r="F31" s="3"/>
      <c r="G31" s="3"/>
      <c r="H31" s="3"/>
    </row>
    <row r="32" spans="2:8" ht="15" customHeight="1" x14ac:dyDescent="0.25">
      <c r="B32" s="2" t="s">
        <v>35</v>
      </c>
      <c r="C32" s="3">
        <v>293</v>
      </c>
      <c r="D32" s="3"/>
      <c r="E32" s="3">
        <v>124</v>
      </c>
      <c r="F32" s="3"/>
      <c r="G32" s="3"/>
      <c r="H32" s="3"/>
    </row>
    <row r="33" spans="2:8" ht="15" customHeight="1" x14ac:dyDescent="0.25">
      <c r="B33" s="7" t="s">
        <v>36</v>
      </c>
      <c r="C33" s="3"/>
      <c r="D33" s="3"/>
      <c r="E33" s="3"/>
      <c r="F33" s="3"/>
      <c r="G33" s="3"/>
      <c r="H33" s="3"/>
    </row>
    <row r="34" spans="2:8" ht="15" customHeight="1" x14ac:dyDescent="0.25">
      <c r="B34" s="2" t="s">
        <v>37</v>
      </c>
      <c r="C34" s="3">
        <v>391</v>
      </c>
      <c r="D34" s="3"/>
      <c r="E34" s="3">
        <v>42</v>
      </c>
      <c r="F34" s="3"/>
      <c r="G34" s="3"/>
      <c r="H34" s="3"/>
    </row>
    <row r="35" spans="2:8" ht="15" customHeight="1" x14ac:dyDescent="0.25">
      <c r="B35" s="7" t="s">
        <v>38</v>
      </c>
      <c r="C35" s="3"/>
      <c r="D35" s="3"/>
      <c r="E35" s="3"/>
      <c r="F35" s="3"/>
      <c r="G35" s="3"/>
      <c r="H35" s="3"/>
    </row>
    <row r="36" spans="2:8" ht="15" customHeight="1" x14ac:dyDescent="0.25">
      <c r="B36" s="2" t="s">
        <v>39</v>
      </c>
      <c r="C36" s="3">
        <v>2573</v>
      </c>
      <c r="D36" s="3"/>
      <c r="E36" s="3">
        <v>129</v>
      </c>
      <c r="F36" s="3"/>
      <c r="G36" s="3"/>
      <c r="H36" s="3"/>
    </row>
    <row r="37" spans="2:8" ht="15" customHeight="1" x14ac:dyDescent="0.25">
      <c r="B37" s="2" t="s">
        <v>40</v>
      </c>
      <c r="C37" s="3">
        <v>2281</v>
      </c>
      <c r="D37" s="3"/>
      <c r="E37" s="3">
        <v>5</v>
      </c>
      <c r="F37" s="3"/>
      <c r="G37" s="3"/>
      <c r="H37" s="3"/>
    </row>
  </sheetData>
  <pageMargins left="0.7" right="0.7" top="0.75" bottom="0.75" header="0.3" footer="0.3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7F15B90E0D534BBB839B198137939B" ma:contentTypeVersion="22" ma:contentTypeDescription="Crée un document." ma:contentTypeScope="" ma:versionID="0c6964d9d86e00306fce2497e2b82cec">
  <xsd:schema xmlns:xsd="http://www.w3.org/2001/XMLSchema" xmlns:xs="http://www.w3.org/2001/XMLSchema" xmlns:p="http://schemas.microsoft.com/office/2006/metadata/properties" xmlns:ns2="30e298cb-10f2-4650-8b93-d5ceb695ec76" xmlns:ns3="181cf519-dc60-46ed-bf91-ce417eb24180" targetNamespace="http://schemas.microsoft.com/office/2006/metadata/properties" ma:root="true" ma:fieldsID="17676acbd17090d53990c800735924cc" ns2:_="" ns3:_="">
    <xsd:import namespace="30e298cb-10f2-4650-8b93-d5ceb695ec76"/>
    <xsd:import namespace="181cf519-dc60-46ed-bf91-ce417eb24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Date" minOccurs="0"/>
                <xsd:element ref="ns2:Diffusion" minOccurs="0"/>
                <xsd:element ref="ns2:_x0037__x002d_Test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Format" minOccurs="0"/>
                <xsd:element ref="ns2:DateBouclageCommercial" minOccurs="0"/>
                <xsd:element ref="ns2:B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298cb-10f2-4650-8b93-d5ceb695e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e61587b0-815b-4e59-b8fa-f20d0b3e91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" ma:index="20" nillable="true" ma:displayName="Date" ma:default="22/01/2024" ma:format="DateOnly" ma:internalName="Date">
      <xsd:simpleType>
        <xsd:restriction base="dms:DateTime"/>
      </xsd:simpleType>
    </xsd:element>
    <xsd:element name="Diffusion" ma:index="21" nillable="true" ma:displayName="Diffusion" ma:format="Dropdown" ma:internalName="Diffusion">
      <xsd:simpleType>
        <xsd:restriction base="dms:Choice">
          <xsd:enumeration value="Toutes éditions"/>
          <xsd:enumeration value="éditionnées"/>
          <xsd:enumeration value="Kiosque"/>
          <xsd:enumeration value="Diffusion ciblée"/>
          <xsd:enumeration value="Toutes éditions + ciblée"/>
        </xsd:restriction>
      </xsd:simpleType>
    </xsd:element>
    <xsd:element name="_x0037__x002d_Test" ma:index="22" nillable="true" ma:displayName="7 - Test" ma:format="Dropdown" ma:internalName="_x0037__x002d_Test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Format" ma:index="27" nillable="true" ma:displayName="Format" ma:format="Dropdown" ma:internalName="Format">
      <xsd:simpleType>
        <xsd:restriction base="dms:Choice">
          <xsd:enumeration value="Tabloïd cahier 1 La Provence"/>
          <xsd:enumeration value="Magazine Hors série kiosque"/>
          <xsd:enumeration value="Magazine"/>
          <xsd:enumeration value="Version Femina"/>
        </xsd:restriction>
      </xsd:simpleType>
    </xsd:element>
    <xsd:element name="DateBouclageCommercial" ma:index="28" nillable="true" ma:displayName="BC" ma:format="DateOnly" ma:internalName="DateBouclageCommercial">
      <xsd:simpleType>
        <xsd:restriction base="dms:DateTime"/>
      </xsd:simpleType>
    </xsd:element>
    <xsd:element name="BT" ma:index="29" nillable="true" ma:displayName="BT" ma:format="DateOnly" ma:internalName="BT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1cf519-dc60-46ed-bf91-ce417eb241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1d02348-a8dc-4147-9853-f88181a29f6e}" ma:internalName="TaxCatchAll" ma:showField="CatchAllData" ma:web="181cf519-dc60-46ed-bf91-ce417eb24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Suppor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e298cb-10f2-4650-8b93-d5ceb695ec76">
      <Terms xmlns="http://schemas.microsoft.com/office/infopath/2007/PartnerControls"/>
    </lcf76f155ced4ddcb4097134ff3c332f>
    <Date xmlns="30e298cb-10f2-4650-8b93-d5ceb695ec76" xsi:nil="true"/>
    <_x0037__x002d_Test xmlns="30e298cb-10f2-4650-8b93-d5ceb695ec76" xsi:nil="true"/>
    <Diffusion xmlns="30e298cb-10f2-4650-8b93-d5ceb695ec76" xsi:nil="true"/>
    <TaxCatchAll xmlns="181cf519-dc60-46ed-bf91-ce417eb24180" xsi:nil="true"/>
    <SharedWithUsers xmlns="181cf519-dc60-46ed-bf91-ce417eb24180">
      <UserInfo>
        <DisplayName/>
        <AccountId xsi:nil="true"/>
        <AccountType/>
      </UserInfo>
    </SharedWithUsers>
    <BT xmlns="30e298cb-10f2-4650-8b93-d5ceb695ec76" xsi:nil="true"/>
    <Format xmlns="30e298cb-10f2-4650-8b93-d5ceb695ec76" xsi:nil="true"/>
    <DateBouclageCommercial xmlns="30e298cb-10f2-4650-8b93-d5ceb695ec76" xsi:nil="true"/>
  </documentManagement>
</p:properties>
</file>

<file path=customXml/itemProps1.xml><?xml version="1.0" encoding="utf-8"?>
<ds:datastoreItem xmlns:ds="http://schemas.openxmlformats.org/officeDocument/2006/customXml" ds:itemID="{B5A694C0-1C58-46DE-9D6D-6CB58F2C28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e298cb-10f2-4650-8b93-d5ceb695ec76"/>
    <ds:schemaRef ds:uri="181cf519-dc60-46ed-bf91-ce417eb241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F4F1B4-06F4-4E04-8D15-44A7D35465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C6B93-CE2C-462C-9E4D-51B427D929F8}">
  <ds:schemaRefs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be879eaf-1648-4c58-ab29-4a9ed59baab2"/>
    <ds:schemaRef ds:uri="http://www.w3.org/XML/1998/namespace"/>
    <ds:schemaRef ds:uri="55a00182-4fb6-4820-967d-5cccc1657886"/>
    <ds:schemaRef ds:uri="http://schemas.microsoft.com/office/2006/metadata/properties"/>
    <ds:schemaRef ds:uri="http://purl.org/dc/terms/"/>
    <ds:schemaRef ds:uri="30e298cb-10f2-4650-8b93-d5ceb695ec76"/>
    <ds:schemaRef ds:uri="181cf519-dc60-46ed-bf91-ce417eb2418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 TABLEAU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Laurene Vermont</dc:creator>
  <cp:lastModifiedBy>Sonia Araujo</cp:lastModifiedBy>
  <cp:lastPrinted>2025-12-08T14:42:40Z</cp:lastPrinted>
  <dcterms:created xsi:type="dcterms:W3CDTF">2023-11-07T09:26:20Z</dcterms:created>
  <dcterms:modified xsi:type="dcterms:W3CDTF">2025-12-08T15:16:56Z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0x010100907F15B90E0D534BBB839B198137939B</vt:lpwstr>
  </property>
  <property fmtid="{D5CDD505-2E9C-101B-9397-08002B2CF9AE}" pid="3" name="Order">
    <vt:r8>390400</vt:r8>
  </property>
  <property fmtid="{D5CDD505-2E9C-101B-9397-08002B2CF9AE}" pid="4" name="xd_ProgID">
    <vt:lpwstr/>
  </property>
  <property fmtid="{D5CDD505-2E9C-101B-9397-08002B2CF9AE}" pid="5" name="MediaServiceImageTags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